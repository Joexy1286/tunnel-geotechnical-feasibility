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 Summary" sheetId="1" state="visible" r:id="rId3"/>
    <sheet name="Readings" sheetId="2" state="visible" r:id="rId4"/>
  </sheets>
  <definedNames>
    <definedName function="false" hidden="true" localSheetId="1" name="_xlnm._FilterDatabase" vbProcedure="false">Readings!$A$1:$F$99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<sst xmlns="http://schemas.openxmlformats.org/spreadsheetml/2006/main" count="219" uniqueCount="34">
  <si>
    <t xml:space="preserve">Discontinuity set</t>
  </si>
  <si>
    <t xml:space="preserve">Readings (n)</t>
  </si>
  <si>
    <t xml:space="preserve">Outcrops</t>
  </si>
  <si>
    <t xml:space="preserve">Mean dip direction (°)</t>
  </si>
  <si>
    <t xml:space="preserve">Mean dip angle (°)</t>
  </si>
  <si>
    <t xml:space="preserve">Interpretation</t>
  </si>
  <si>
    <t xml:space="preserve">Set 1 (candidate bedding)</t>
  </si>
  <si>
    <t xml:space="preserve">Moderate dip, present at most outcrops, most-recorded plane — strongest candidate for bedding. Confirm against field log "Type" entries.</t>
  </si>
  <si>
    <t xml:space="preserve">Set 2</t>
  </si>
  <si>
    <t xml:space="preserve">Moderate-steep, second most widespread — possible secondary joint set or second bedding population; check field notes.</t>
  </si>
  <si>
    <t xml:space="preserve">Set 3</t>
  </si>
  <si>
    <t xml:space="preserve">Steep, recurs across many outcrops regardless of local lithology — consistent with a regional tectonic joint set, not bedding.</t>
  </si>
  <si>
    <t xml:space="preserve">Set 4</t>
  </si>
  <si>
    <t xml:space="preserve">Near-vertical, widespread — consistent with a regional tectonic joint set, not bedding.</t>
  </si>
  <si>
    <t xml:space="preserve">Sets identified by clustering pole vectors (angular separation between planes) from 98 field readings across 12 outcrops. "Outcrops" and set assignment computed externally (Python/scikit-learn KMeans on pole vectors) — not reproducible as a native Excel formula, so recorded as a value here.</t>
  </si>
  <si>
    <t xml:space="preserve">Outcrop</t>
  </si>
  <si>
    <t xml:space="preserve">Latitude</t>
  </si>
  <si>
    <t xml:space="preserve">Longitude</t>
  </si>
  <si>
    <t xml:space="preserve">Dip direction (°)</t>
  </si>
  <si>
    <t xml:space="preserve">Dip angle (°)</t>
  </si>
  <si>
    <t xml:space="preserve">sin(dip dir)</t>
  </si>
  <si>
    <t xml:space="preserve">cos(dip dir)</t>
  </si>
  <si>
    <t xml:space="preserve">Outcrop 1</t>
  </si>
  <si>
    <t xml:space="preserve">Outcrop 10</t>
  </si>
  <si>
    <t xml:space="preserve">Outcrop 11</t>
  </si>
  <si>
    <t xml:space="preserve">Outcrop 12</t>
  </si>
  <si>
    <t xml:space="preserve">Outcrop 13</t>
  </si>
  <si>
    <t xml:space="preserve">Outcrop 2</t>
  </si>
  <si>
    <t xml:space="preserve">Outcrop 4</t>
  </si>
  <si>
    <t xml:space="preserve">Outcrop 5</t>
  </si>
  <si>
    <t xml:space="preserve">Outcrop 6</t>
  </si>
  <si>
    <t xml:space="preserve">Outcrop 7</t>
  </si>
  <si>
    <t xml:space="preserve">Outcrop 8</t>
  </si>
  <si>
    <t xml:space="preserve">Outcrop 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</si>
</sst>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0000"/>
    <numFmt numFmtId="167" formatCode="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F7D5C"/>
      <name val="Arial"/>
      <family val="0"/>
      <charset val="1"/>
    </font>
    <font>
      <sz val="11"/>
      <name val="Arial"/>
      <family val="0"/>
      <charset val="1"/>
    </font>
    <font>
      <sz val="11"/>
      <color rgb="FF1D6FB8"/>
      <name val="Arial"/>
      <family val="0"/>
      <charset val="1"/>
    </font>
    <font>
      <sz val="11"/>
      <color rgb="FF9C6510"/>
      <name val="Arial"/>
      <family val="0"/>
      <charset val="1"/>
    </font>
    <font>
      <sz val="11"/>
      <color rgb="FFB2323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99999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6EEE3"/>
        <bgColor rgb="FFD6E6F5"/>
      </patternFill>
    </fill>
    <fill>
      <patternFill patternType="solid">
        <fgColor rgb="FFD6E6F5"/>
        <bgColor rgb="FFD6EEE3"/>
      </patternFill>
    </fill>
    <fill>
      <patternFill patternType="solid">
        <fgColor rgb="FFF5E4C8"/>
        <bgColor rgb="FFF5D6D6"/>
      </patternFill>
    </fill>
    <fill>
      <patternFill patternType="solid">
        <fgColor rgb="FFF5D6D6"/>
        <bgColor rgb="FFF5E4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5F"/>
          <bgColor rgb="FF000000"/>
        </patternFill>
      </fill>
    </dxf>
    <dxf>
      <fill>
        <patternFill patternType="solid">
          <fgColor rgb="FFD6E6F5"/>
          <bgColor rgb="FF000000"/>
        </patternFill>
      </fill>
    </dxf>
    <dxf>
      <fill>
        <patternFill patternType="solid">
          <fgColor rgb="FFD6EEE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5E4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7D5C"/>
          <bgColor rgb="FF000000"/>
        </patternFill>
      </fill>
    </dxf>
    <dxf>
      <fill>
        <patternFill patternType="solid">
          <fgColor rgb="FF1D6FB8"/>
          <bgColor rgb="FF000000"/>
        </patternFill>
      </fill>
    </dxf>
    <dxf>
      <fill>
        <patternFill patternType="solid">
          <fgColor rgb="FF9C6510"/>
          <bgColor rgb="FF000000"/>
        </patternFill>
      </fill>
    </dxf>
    <dxf>
      <fill>
        <patternFill patternType="solid">
          <fgColor rgb="FFB232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10"/>
      <rgbColor rgb="FF800080"/>
      <rgbColor rgb="FF0F7D5C"/>
      <rgbColor rgb="FFC9C9C9"/>
      <rgbColor rgb="FF808080"/>
      <rgbColor rgb="FF9999FF"/>
      <rgbColor rgb="FF993366"/>
      <rgbColor rgb="FFF5E4C8"/>
      <rgbColor rgb="FFD6E6F5"/>
      <rgbColor rgb="FF660066"/>
      <rgbColor rgb="FFFF8080"/>
      <rgbColor rgb="FF1D6F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EE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4E5F"/>
      <rgbColor rgb="FF339966"/>
      <rgbColor rgb="FF003300"/>
      <rgbColor rgb="FF333300"/>
      <rgbColor rgb="FFB2323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5" hidden="false" customHeight="true" outlineLevel="0" collapsed="false">
      <c r="A2" s="2" t="s">
        <v>6</v>
      </c>
      <c r="B2" s="3" t="n">
        <f aca="false">COUNTIF(Readings!F:F,A2)</f>
        <v>33</v>
      </c>
      <c r="C2" s="3" t="n">
        <v>10</v>
      </c>
      <c r="D2" s="3" t="n">
        <f aca="false">ROUND(MOD(DEGREES(ATAN2(SUMIF(Readings!F:F,A2,Readings!H:H),SUMIF(Readings!F:F,A2,Readings!G:G))),360),0)</f>
        <v>327</v>
      </c>
      <c r="E2" s="3" t="n">
        <f aca="false">ROUND(AVERAGEIF(Readings!F:F,A2,Readings!E:E),0)</f>
        <v>42</v>
      </c>
      <c r="F2" s="4" t="s">
        <v>7</v>
      </c>
    </row>
    <row r="3" customFormat="false" ht="45" hidden="false" customHeight="true" outlineLevel="0" collapsed="false">
      <c r="A3" s="5" t="s">
        <v>8</v>
      </c>
      <c r="B3" s="6" t="n">
        <f aca="false">COUNTIF(Readings!F:F,A3)</f>
        <v>25</v>
      </c>
      <c r="C3" s="6" t="n">
        <v>9</v>
      </c>
      <c r="D3" s="6" t="n">
        <f aca="false">ROUND(MOD(DEGREES(ATAN2(SUMIF(Readings!F:F,A3,Readings!H:H),SUMIF(Readings!F:F,A3,Readings!G:G))),360),0)</f>
        <v>146</v>
      </c>
      <c r="E3" s="6" t="n">
        <f aca="false">ROUND(AVERAGEIF(Readings!F:F,A3,Readings!E:E),0)</f>
        <v>61</v>
      </c>
      <c r="F3" s="7" t="s">
        <v>9</v>
      </c>
    </row>
    <row r="4" customFormat="false" ht="45" hidden="false" customHeight="true" outlineLevel="0" collapsed="false">
      <c r="A4" s="8" t="s">
        <v>10</v>
      </c>
      <c r="B4" s="9" t="n">
        <f aca="false">COUNTIF(Readings!F:F,A4)</f>
        <v>18</v>
      </c>
      <c r="C4" s="9" t="n">
        <v>7</v>
      </c>
      <c r="D4" s="9" t="n">
        <f aca="false">ROUND(MOD(DEGREES(ATAN2(SUMIF(Readings!F:F,A4,Readings!H:H),SUMIF(Readings!F:F,A4,Readings!G:G))),360),0)</f>
        <v>62</v>
      </c>
      <c r="E4" s="9" t="n">
        <f aca="false">ROUND(AVERAGEIF(Readings!F:F,A4,Readings!E:E),0)</f>
        <v>70</v>
      </c>
      <c r="F4" s="10" t="s">
        <v>11</v>
      </c>
    </row>
    <row r="5" customFormat="false" ht="45" hidden="false" customHeight="true" outlineLevel="0" collapsed="false">
      <c r="A5" s="11" t="s">
        <v>12</v>
      </c>
      <c r="B5" s="12" t="n">
        <f aca="false">COUNTIF(Readings!F:F,A5)</f>
        <v>22</v>
      </c>
      <c r="C5" s="12" t="n">
        <v>9</v>
      </c>
      <c r="D5" s="12" t="n">
        <f aca="false">ROUND(MOD(DEGREES(ATAN2(SUMIF(Readings!F:F,A5,Readings!H:H),SUMIF(Readings!F:F,A5,Readings!G:G))),360),0)</f>
        <v>234</v>
      </c>
      <c r="E5" s="12" t="n">
        <f aca="false">ROUND(AVERAGEIF(Readings!F:F,A5,Readings!E:E),0)</f>
        <v>81</v>
      </c>
      <c r="F5" s="13" t="s">
        <v>13</v>
      </c>
    </row>
    <row r="7" customFormat="false" ht="39.75" hidden="false" customHeight="true" outlineLevel="0" collapsed="false">
      <c r="A7" s="14" t="s">
        <v>14</v>
      </c>
      <c r="B7" s="14"/>
      <c r="C7" s="14"/>
      <c r="D7" s="14"/>
      <c r="E7" s="14"/>
      <c r="F7" s="14"/>
    </row>
  </sheetData>
  <mergeCells count="1"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8" min="7" style="0" width="11"/>
  </cols>
  <sheetData>
    <row r="1" customFormat="false" ht="30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0</v>
      </c>
      <c r="G1" s="15" t="s">
        <v>20</v>
      </c>
      <c r="H1" s="15" t="s">
        <v>21</v>
      </c>
    </row>
    <row r="2" customFormat="false" ht="15" hidden="false" customHeight="false" outlineLevel="0" collapsed="false">
      <c r="A2" s="16" t="s">
        <v>22</v>
      </c>
      <c r="B2" s="17" t="n">
        <v>50.733643</v>
      </c>
      <c r="C2" s="17" t="n">
        <v>6.177665</v>
      </c>
      <c r="D2" s="18" t="n">
        <v>310</v>
      </c>
      <c r="E2" s="18" t="n">
        <v>25</v>
      </c>
      <c r="F2" s="19" t="s">
        <v>6</v>
      </c>
      <c r="G2" s="20" t="n">
        <f aca="false">SIN(RADIANS(D2))</f>
        <v>-0.766044443118978</v>
      </c>
      <c r="H2" s="20" t="n">
        <f aca="false">COS(RADIANS(D2))</f>
        <v>0.642787609686539</v>
      </c>
    </row>
    <row r="3" customFormat="false" ht="15" hidden="false" customHeight="false" outlineLevel="0" collapsed="false">
      <c r="A3" s="16" t="s">
        <v>22</v>
      </c>
      <c r="B3" s="17" t="n">
        <v>50.733643</v>
      </c>
      <c r="C3" s="17" t="n">
        <v>6.177665</v>
      </c>
      <c r="D3" s="18" t="n">
        <v>310</v>
      </c>
      <c r="E3" s="18" t="n">
        <v>35</v>
      </c>
      <c r="F3" s="19" t="s">
        <v>6</v>
      </c>
      <c r="G3" s="20" t="n">
        <f aca="false">SIN(RADIANS(D3))</f>
        <v>-0.766044443118978</v>
      </c>
      <c r="H3" s="20" t="n">
        <f aca="false">COS(RADIANS(D3))</f>
        <v>0.642787609686539</v>
      </c>
    </row>
    <row r="4" customFormat="false" ht="15" hidden="false" customHeight="false" outlineLevel="0" collapsed="false">
      <c r="A4" s="16" t="s">
        <v>22</v>
      </c>
      <c r="B4" s="17" t="n">
        <v>50.733643</v>
      </c>
      <c r="C4" s="17" t="n">
        <v>6.177665</v>
      </c>
      <c r="D4" s="18" t="n">
        <v>320</v>
      </c>
      <c r="E4" s="18" t="n">
        <v>30</v>
      </c>
      <c r="F4" s="19" t="s">
        <v>6</v>
      </c>
      <c r="G4" s="20" t="n">
        <f aca="false">SIN(RADIANS(D4))</f>
        <v>-0.64278760968654</v>
      </c>
      <c r="H4" s="20" t="n">
        <f aca="false">COS(RADIANS(D4))</f>
        <v>0.766044443118978</v>
      </c>
    </row>
    <row r="5" customFormat="false" ht="15" hidden="false" customHeight="false" outlineLevel="0" collapsed="false">
      <c r="A5" s="16" t="s">
        <v>22</v>
      </c>
      <c r="B5" s="17" t="n">
        <v>50.733643</v>
      </c>
      <c r="C5" s="17" t="n">
        <v>6.177665</v>
      </c>
      <c r="D5" s="18" t="n">
        <v>300</v>
      </c>
      <c r="E5" s="18" t="n">
        <v>32</v>
      </c>
      <c r="F5" s="19" t="s">
        <v>6</v>
      </c>
      <c r="G5" s="20" t="n">
        <f aca="false">SIN(RADIANS(D5))</f>
        <v>-0.866025403784439</v>
      </c>
      <c r="H5" s="20" t="n">
        <f aca="false">COS(RADIANS(D5))</f>
        <v>0.5</v>
      </c>
    </row>
    <row r="6" customFormat="false" ht="15" hidden="false" customHeight="false" outlineLevel="0" collapsed="false">
      <c r="A6" s="21" t="s">
        <v>22</v>
      </c>
      <c r="B6" s="22" t="n">
        <v>50.733643</v>
      </c>
      <c r="C6" s="22" t="n">
        <v>6.177665</v>
      </c>
      <c r="D6" s="23" t="n">
        <v>142</v>
      </c>
      <c r="E6" s="23" t="n">
        <v>55</v>
      </c>
      <c r="F6" s="24" t="s">
        <v>8</v>
      </c>
      <c r="G6" s="20" t="n">
        <f aca="false">SIN(RADIANS(D6))</f>
        <v>0.615661475325658</v>
      </c>
      <c r="H6" s="20" t="n">
        <f aca="false">COS(RADIANS(D6))</f>
        <v>-0.788010753606722</v>
      </c>
    </row>
    <row r="7" customFormat="false" ht="15" hidden="false" customHeight="false" outlineLevel="0" collapsed="false">
      <c r="A7" s="21" t="s">
        <v>22</v>
      </c>
      <c r="B7" s="22" t="n">
        <v>50.733643</v>
      </c>
      <c r="C7" s="22" t="n">
        <v>6.177665</v>
      </c>
      <c r="D7" s="23" t="n">
        <v>168</v>
      </c>
      <c r="E7" s="23" t="n">
        <v>52</v>
      </c>
      <c r="F7" s="24" t="s">
        <v>8</v>
      </c>
      <c r="G7" s="20" t="n">
        <f aca="false">SIN(RADIANS(D7))</f>
        <v>0.207911690817759</v>
      </c>
      <c r="H7" s="20" t="n">
        <f aca="false">COS(RADIANS(D7))</f>
        <v>-0.978147600733806</v>
      </c>
    </row>
    <row r="8" customFormat="false" ht="15" hidden="false" customHeight="false" outlineLevel="0" collapsed="false">
      <c r="A8" s="21" t="s">
        <v>22</v>
      </c>
      <c r="B8" s="22" t="n">
        <v>50.733643</v>
      </c>
      <c r="C8" s="22" t="n">
        <v>6.177665</v>
      </c>
      <c r="D8" s="23" t="n">
        <v>145</v>
      </c>
      <c r="E8" s="23" t="n">
        <v>65</v>
      </c>
      <c r="F8" s="24" t="s">
        <v>8</v>
      </c>
      <c r="G8" s="20" t="n">
        <f aca="false">SIN(RADIANS(D8))</f>
        <v>0.573576436351046</v>
      </c>
      <c r="H8" s="20" t="n">
        <f aca="false">COS(RADIANS(D8))</f>
        <v>-0.819152044288992</v>
      </c>
    </row>
    <row r="9" customFormat="false" ht="15" hidden="false" customHeight="false" outlineLevel="0" collapsed="false">
      <c r="A9" s="21" t="s">
        <v>22</v>
      </c>
      <c r="B9" s="22" t="n">
        <v>50.733643</v>
      </c>
      <c r="C9" s="22" t="n">
        <v>6.177665</v>
      </c>
      <c r="D9" s="23" t="n">
        <v>145</v>
      </c>
      <c r="E9" s="23" t="n">
        <v>85</v>
      </c>
      <c r="F9" s="24" t="s">
        <v>8</v>
      </c>
      <c r="G9" s="20" t="n">
        <f aca="false">SIN(RADIANS(D9))</f>
        <v>0.573576436351046</v>
      </c>
      <c r="H9" s="20" t="n">
        <f aca="false">COS(RADIANS(D9))</f>
        <v>-0.819152044288992</v>
      </c>
    </row>
    <row r="10" customFormat="false" ht="15" hidden="false" customHeight="false" outlineLevel="0" collapsed="false">
      <c r="A10" s="25" t="s">
        <v>22</v>
      </c>
      <c r="B10" s="26" t="n">
        <v>50.733643</v>
      </c>
      <c r="C10" s="26" t="n">
        <v>6.177665</v>
      </c>
      <c r="D10" s="27" t="n">
        <v>28</v>
      </c>
      <c r="E10" s="27" t="n">
        <v>80</v>
      </c>
      <c r="F10" s="28" t="s">
        <v>10</v>
      </c>
      <c r="G10" s="20" t="n">
        <f aca="false">SIN(RADIANS(D10))</f>
        <v>0.469471562785891</v>
      </c>
      <c r="H10" s="20" t="n">
        <f aca="false">COS(RADIANS(D10))</f>
        <v>0.882947592858927</v>
      </c>
    </row>
    <row r="11" customFormat="false" ht="15" hidden="false" customHeight="false" outlineLevel="0" collapsed="false">
      <c r="A11" s="25" t="s">
        <v>22</v>
      </c>
      <c r="B11" s="26" t="n">
        <v>50.733643</v>
      </c>
      <c r="C11" s="26" t="n">
        <v>6.177665</v>
      </c>
      <c r="D11" s="27" t="n">
        <v>48</v>
      </c>
      <c r="E11" s="27" t="n">
        <v>85</v>
      </c>
      <c r="F11" s="28" t="s">
        <v>10</v>
      </c>
      <c r="G11" s="20" t="n">
        <f aca="false">SIN(RADIANS(D11))</f>
        <v>0.743144825477394</v>
      </c>
      <c r="H11" s="20" t="n">
        <f aca="false">COS(RADIANS(D11))</f>
        <v>0.669130606358858</v>
      </c>
    </row>
    <row r="12" customFormat="false" ht="15" hidden="false" customHeight="false" outlineLevel="0" collapsed="false">
      <c r="A12" s="25" t="s">
        <v>22</v>
      </c>
      <c r="B12" s="26" t="n">
        <v>50.733643</v>
      </c>
      <c r="C12" s="26" t="n">
        <v>6.177665</v>
      </c>
      <c r="D12" s="27" t="n">
        <v>34</v>
      </c>
      <c r="E12" s="27" t="n">
        <v>88</v>
      </c>
      <c r="F12" s="28" t="s">
        <v>10</v>
      </c>
      <c r="G12" s="20" t="n">
        <f aca="false">SIN(RADIANS(D12))</f>
        <v>0.559192903470747</v>
      </c>
      <c r="H12" s="20" t="n">
        <f aca="false">COS(RADIANS(D12))</f>
        <v>0.829037572555042</v>
      </c>
    </row>
    <row r="13" customFormat="false" ht="15" hidden="false" customHeight="false" outlineLevel="0" collapsed="false">
      <c r="A13" s="29" t="s">
        <v>22</v>
      </c>
      <c r="B13" s="30" t="n">
        <v>50.733643</v>
      </c>
      <c r="C13" s="30" t="n">
        <v>6.177665</v>
      </c>
      <c r="D13" s="31" t="n">
        <v>228</v>
      </c>
      <c r="E13" s="31" t="n">
        <v>90</v>
      </c>
      <c r="F13" s="32" t="s">
        <v>12</v>
      </c>
      <c r="G13" s="20" t="n">
        <f aca="false">SIN(RADIANS(D13))</f>
        <v>-0.743144825477394</v>
      </c>
      <c r="H13" s="20" t="n">
        <f aca="false">COS(RADIANS(D13))</f>
        <v>-0.669130606358859</v>
      </c>
    </row>
    <row r="14" customFormat="false" ht="15" hidden="false" customHeight="false" outlineLevel="0" collapsed="false">
      <c r="A14" s="21" t="s">
        <v>23</v>
      </c>
      <c r="B14" s="22" t="n">
        <v>50.703944</v>
      </c>
      <c r="C14" s="22" t="n">
        <v>6.182345</v>
      </c>
      <c r="D14" s="23" t="n">
        <v>122</v>
      </c>
      <c r="E14" s="23" t="n">
        <v>55</v>
      </c>
      <c r="F14" s="24" t="s">
        <v>8</v>
      </c>
      <c r="G14" s="20" t="n">
        <f aca="false">SIN(RADIANS(D14))</f>
        <v>0.848048096156426</v>
      </c>
      <c r="H14" s="20" t="n">
        <f aca="false">COS(RADIANS(D14))</f>
        <v>-0.529919264233205</v>
      </c>
    </row>
    <row r="15" customFormat="false" ht="15" hidden="false" customHeight="false" outlineLevel="0" collapsed="false">
      <c r="A15" s="21" t="s">
        <v>23</v>
      </c>
      <c r="B15" s="22" t="n">
        <v>50.703944</v>
      </c>
      <c r="C15" s="22" t="n">
        <v>6.182345</v>
      </c>
      <c r="D15" s="23" t="n">
        <v>105</v>
      </c>
      <c r="E15" s="23" t="n">
        <v>63</v>
      </c>
      <c r="F15" s="24" t="s">
        <v>8</v>
      </c>
      <c r="G15" s="20" t="n">
        <f aca="false">SIN(RADIANS(D15))</f>
        <v>0.965925826289068</v>
      </c>
      <c r="H15" s="20" t="n">
        <f aca="false">COS(RADIANS(D15))</f>
        <v>-0.258819045102521</v>
      </c>
    </row>
    <row r="16" customFormat="false" ht="15" hidden="false" customHeight="false" outlineLevel="0" collapsed="false">
      <c r="A16" s="25" t="s">
        <v>23</v>
      </c>
      <c r="B16" s="26" t="n">
        <v>50.703944</v>
      </c>
      <c r="C16" s="26" t="n">
        <v>6.182345</v>
      </c>
      <c r="D16" s="27" t="n">
        <v>23</v>
      </c>
      <c r="E16" s="27" t="n">
        <v>60</v>
      </c>
      <c r="F16" s="28" t="s">
        <v>10</v>
      </c>
      <c r="G16" s="20" t="n">
        <f aca="false">SIN(RADIANS(D16))</f>
        <v>0.390731128489274</v>
      </c>
      <c r="H16" s="20" t="n">
        <f aca="false">COS(RADIANS(D16))</f>
        <v>0.92050485345244</v>
      </c>
    </row>
    <row r="17" customFormat="false" ht="15" hidden="false" customHeight="false" outlineLevel="0" collapsed="false">
      <c r="A17" s="25" t="s">
        <v>23</v>
      </c>
      <c r="B17" s="26" t="n">
        <v>50.703944</v>
      </c>
      <c r="C17" s="26" t="n">
        <v>6.182345</v>
      </c>
      <c r="D17" s="27" t="n">
        <v>22</v>
      </c>
      <c r="E17" s="27" t="n">
        <v>50</v>
      </c>
      <c r="F17" s="28" t="s">
        <v>10</v>
      </c>
      <c r="G17" s="20" t="n">
        <f aca="false">SIN(RADIANS(D17))</f>
        <v>0.374606593415912</v>
      </c>
      <c r="H17" s="20" t="n">
        <f aca="false">COS(RADIANS(D17))</f>
        <v>0.927183854566787</v>
      </c>
    </row>
    <row r="18" customFormat="false" ht="15" hidden="false" customHeight="false" outlineLevel="0" collapsed="false">
      <c r="A18" s="16" t="s">
        <v>24</v>
      </c>
      <c r="B18" s="17" t="n">
        <v>50.705502</v>
      </c>
      <c r="C18" s="17" t="n">
        <v>6.163773</v>
      </c>
      <c r="D18" s="18" t="n">
        <v>330</v>
      </c>
      <c r="E18" s="18" t="n">
        <v>35</v>
      </c>
      <c r="F18" s="19" t="s">
        <v>6</v>
      </c>
      <c r="G18" s="20" t="n">
        <f aca="false">SIN(RADIANS(D18))</f>
        <v>-0.5</v>
      </c>
      <c r="H18" s="20" t="n">
        <f aca="false">COS(RADIANS(D18))</f>
        <v>0.866025403784438</v>
      </c>
    </row>
    <row r="19" customFormat="false" ht="15" hidden="false" customHeight="false" outlineLevel="0" collapsed="false">
      <c r="A19" s="16" t="s">
        <v>24</v>
      </c>
      <c r="B19" s="17" t="n">
        <v>50.705502</v>
      </c>
      <c r="C19" s="17" t="n">
        <v>6.163773</v>
      </c>
      <c r="D19" s="18" t="n">
        <v>335</v>
      </c>
      <c r="E19" s="18" t="n">
        <v>30</v>
      </c>
      <c r="F19" s="19" t="s">
        <v>6</v>
      </c>
      <c r="G19" s="20" t="n">
        <f aca="false">SIN(RADIANS(D19))</f>
        <v>-0.422618261740699</v>
      </c>
      <c r="H19" s="20" t="n">
        <f aca="false">COS(RADIANS(D19))</f>
        <v>0.90630778703665</v>
      </c>
    </row>
    <row r="20" customFormat="false" ht="15" hidden="false" customHeight="false" outlineLevel="0" collapsed="false">
      <c r="A20" s="16" t="s">
        <v>24</v>
      </c>
      <c r="B20" s="17" t="n">
        <v>50.705502</v>
      </c>
      <c r="C20" s="17" t="n">
        <v>6.163773</v>
      </c>
      <c r="D20" s="18" t="n">
        <v>318</v>
      </c>
      <c r="E20" s="18" t="n">
        <v>35</v>
      </c>
      <c r="F20" s="19" t="s">
        <v>6</v>
      </c>
      <c r="G20" s="20" t="n">
        <f aca="false">SIN(RADIANS(D20))</f>
        <v>-0.669130606358859</v>
      </c>
      <c r="H20" s="20" t="n">
        <f aca="false">COS(RADIANS(D20))</f>
        <v>0.743144825477394</v>
      </c>
    </row>
    <row r="21" customFormat="false" ht="15" hidden="false" customHeight="false" outlineLevel="0" collapsed="false">
      <c r="A21" s="16" t="s">
        <v>24</v>
      </c>
      <c r="B21" s="17" t="n">
        <v>50.705502</v>
      </c>
      <c r="C21" s="17" t="n">
        <v>6.163773</v>
      </c>
      <c r="D21" s="18" t="n">
        <v>358</v>
      </c>
      <c r="E21" s="18" t="n">
        <v>30</v>
      </c>
      <c r="F21" s="19" t="s">
        <v>6</v>
      </c>
      <c r="G21" s="20" t="n">
        <f aca="false">SIN(RADIANS(D21))</f>
        <v>-0.0348994967025008</v>
      </c>
      <c r="H21" s="20" t="n">
        <f aca="false">COS(RADIANS(D21))</f>
        <v>0.999390827019096</v>
      </c>
    </row>
    <row r="22" customFormat="false" ht="15" hidden="false" customHeight="false" outlineLevel="0" collapsed="false">
      <c r="A22" s="16" t="s">
        <v>24</v>
      </c>
      <c r="B22" s="17" t="n">
        <v>50.705502</v>
      </c>
      <c r="C22" s="17" t="n">
        <v>6.163773</v>
      </c>
      <c r="D22" s="18" t="n">
        <v>340</v>
      </c>
      <c r="E22" s="18" t="n">
        <v>34</v>
      </c>
      <c r="F22" s="19" t="s">
        <v>6</v>
      </c>
      <c r="G22" s="20" t="n">
        <f aca="false">SIN(RADIANS(D22))</f>
        <v>-0.342020143325669</v>
      </c>
      <c r="H22" s="20" t="n">
        <f aca="false">COS(RADIANS(D22))</f>
        <v>0.939692620785908</v>
      </c>
    </row>
    <row r="23" customFormat="false" ht="15" hidden="false" customHeight="false" outlineLevel="0" collapsed="false">
      <c r="A23" s="21" t="s">
        <v>24</v>
      </c>
      <c r="B23" s="22" t="n">
        <v>50.705502</v>
      </c>
      <c r="C23" s="22" t="n">
        <v>6.163773</v>
      </c>
      <c r="D23" s="23" t="n">
        <v>175</v>
      </c>
      <c r="E23" s="23" t="n">
        <v>70</v>
      </c>
      <c r="F23" s="24" t="s">
        <v>8</v>
      </c>
      <c r="G23" s="20" t="n">
        <f aca="false">SIN(RADIANS(D23))</f>
        <v>0.0871557427476582</v>
      </c>
      <c r="H23" s="20" t="n">
        <f aca="false">COS(RADIANS(D23))</f>
        <v>-0.996194698091746</v>
      </c>
    </row>
    <row r="24" customFormat="false" ht="15" hidden="false" customHeight="false" outlineLevel="0" collapsed="false">
      <c r="A24" s="21" t="s">
        <v>24</v>
      </c>
      <c r="B24" s="22" t="n">
        <v>50.705502</v>
      </c>
      <c r="C24" s="22" t="n">
        <v>6.163773</v>
      </c>
      <c r="D24" s="23" t="n">
        <v>154</v>
      </c>
      <c r="E24" s="23" t="n">
        <v>76</v>
      </c>
      <c r="F24" s="24" t="s">
        <v>8</v>
      </c>
      <c r="G24" s="20" t="n">
        <f aca="false">SIN(RADIANS(D24))</f>
        <v>0.438371146789078</v>
      </c>
      <c r="H24" s="20" t="n">
        <f aca="false">COS(RADIANS(D24))</f>
        <v>-0.898794046299167</v>
      </c>
    </row>
    <row r="25" customFormat="false" ht="15" hidden="false" customHeight="false" outlineLevel="0" collapsed="false">
      <c r="A25" s="21" t="s">
        <v>24</v>
      </c>
      <c r="B25" s="22" t="n">
        <v>50.705502</v>
      </c>
      <c r="C25" s="22" t="n">
        <v>6.163773</v>
      </c>
      <c r="D25" s="23" t="n">
        <v>182</v>
      </c>
      <c r="E25" s="23" t="n">
        <v>40</v>
      </c>
      <c r="F25" s="24" t="s">
        <v>8</v>
      </c>
      <c r="G25" s="20" t="n">
        <f aca="false">SIN(RADIANS(D25))</f>
        <v>-0.0348994967025009</v>
      </c>
      <c r="H25" s="20" t="n">
        <f aca="false">COS(RADIANS(D25))</f>
        <v>-0.999390827019096</v>
      </c>
    </row>
    <row r="26" customFormat="false" ht="15" hidden="false" customHeight="false" outlineLevel="0" collapsed="false">
      <c r="A26" s="21" t="s">
        <v>24</v>
      </c>
      <c r="B26" s="22" t="n">
        <v>50.705502</v>
      </c>
      <c r="C26" s="22" t="n">
        <v>6.163773</v>
      </c>
      <c r="D26" s="23" t="n">
        <v>168</v>
      </c>
      <c r="E26" s="23" t="n">
        <v>55</v>
      </c>
      <c r="F26" s="24" t="s">
        <v>8</v>
      </c>
      <c r="G26" s="20" t="n">
        <f aca="false">SIN(RADIANS(D26))</f>
        <v>0.207911690817759</v>
      </c>
      <c r="H26" s="20" t="n">
        <f aca="false">COS(RADIANS(D26))</f>
        <v>-0.978147600733806</v>
      </c>
    </row>
    <row r="27" customFormat="false" ht="15" hidden="false" customHeight="false" outlineLevel="0" collapsed="false">
      <c r="A27" s="21" t="s">
        <v>24</v>
      </c>
      <c r="B27" s="22" t="n">
        <v>50.705502</v>
      </c>
      <c r="C27" s="22" t="n">
        <v>6.163773</v>
      </c>
      <c r="D27" s="23" t="n">
        <v>170</v>
      </c>
      <c r="E27" s="23" t="n">
        <v>35</v>
      </c>
      <c r="F27" s="24" t="s">
        <v>8</v>
      </c>
      <c r="G27" s="20" t="n">
        <f aca="false">SIN(RADIANS(D27))</f>
        <v>0.173648177666931</v>
      </c>
      <c r="H27" s="20" t="n">
        <f aca="false">COS(RADIANS(D27))</f>
        <v>-0.984807753012208</v>
      </c>
    </row>
    <row r="28" customFormat="false" ht="15" hidden="false" customHeight="false" outlineLevel="0" collapsed="false">
      <c r="A28" s="21" t="s">
        <v>24</v>
      </c>
      <c r="B28" s="22" t="n">
        <v>50.705502</v>
      </c>
      <c r="C28" s="22" t="n">
        <v>6.163773</v>
      </c>
      <c r="D28" s="23" t="n">
        <v>170</v>
      </c>
      <c r="E28" s="23" t="n">
        <v>35</v>
      </c>
      <c r="F28" s="24" t="s">
        <v>8</v>
      </c>
      <c r="G28" s="20" t="n">
        <f aca="false">SIN(RADIANS(D28))</f>
        <v>0.173648177666931</v>
      </c>
      <c r="H28" s="20" t="n">
        <f aca="false">COS(RADIANS(D28))</f>
        <v>-0.984807753012208</v>
      </c>
    </row>
    <row r="29" customFormat="false" ht="15" hidden="false" customHeight="false" outlineLevel="0" collapsed="false">
      <c r="A29" s="29" t="s">
        <v>24</v>
      </c>
      <c r="B29" s="30" t="n">
        <v>50.705502</v>
      </c>
      <c r="C29" s="30" t="n">
        <v>6.163773</v>
      </c>
      <c r="D29" s="31" t="n">
        <v>228</v>
      </c>
      <c r="E29" s="31" t="n">
        <v>80</v>
      </c>
      <c r="F29" s="32" t="s">
        <v>12</v>
      </c>
      <c r="G29" s="20" t="n">
        <f aca="false">SIN(RADIANS(D29))</f>
        <v>-0.743144825477394</v>
      </c>
      <c r="H29" s="20" t="n">
        <f aca="false">COS(RADIANS(D29))</f>
        <v>-0.669130606358859</v>
      </c>
    </row>
    <row r="30" customFormat="false" ht="15" hidden="false" customHeight="false" outlineLevel="0" collapsed="false">
      <c r="A30" s="29" t="s">
        <v>24</v>
      </c>
      <c r="B30" s="30" t="n">
        <v>50.705502</v>
      </c>
      <c r="C30" s="30" t="n">
        <v>6.163773</v>
      </c>
      <c r="D30" s="31" t="n">
        <v>244</v>
      </c>
      <c r="E30" s="31" t="n">
        <v>90</v>
      </c>
      <c r="F30" s="32" t="s">
        <v>12</v>
      </c>
      <c r="G30" s="20" t="n">
        <f aca="false">SIN(RADIANS(D30))</f>
        <v>-0.898794046299167</v>
      </c>
      <c r="H30" s="20" t="n">
        <f aca="false">COS(RADIANS(D30))</f>
        <v>-0.438371146789078</v>
      </c>
    </row>
    <row r="31" customFormat="false" ht="15" hidden="false" customHeight="false" outlineLevel="0" collapsed="false">
      <c r="A31" s="16" t="s">
        <v>25</v>
      </c>
      <c r="B31" s="17" t="n">
        <v>50.70642</v>
      </c>
      <c r="C31" s="17" t="n">
        <v>6.163939</v>
      </c>
      <c r="D31" s="18" t="n">
        <v>338</v>
      </c>
      <c r="E31" s="18" t="n">
        <v>35</v>
      </c>
      <c r="F31" s="19" t="s">
        <v>6</v>
      </c>
      <c r="G31" s="20" t="n">
        <f aca="false">SIN(RADIANS(D31))</f>
        <v>-0.374606593415912</v>
      </c>
      <c r="H31" s="20" t="n">
        <f aca="false">COS(RADIANS(D31))</f>
        <v>0.927183854566787</v>
      </c>
    </row>
    <row r="32" customFormat="false" ht="15" hidden="false" customHeight="false" outlineLevel="0" collapsed="false">
      <c r="A32" s="16" t="s">
        <v>25</v>
      </c>
      <c r="B32" s="17" t="n">
        <v>50.70642</v>
      </c>
      <c r="C32" s="17" t="n">
        <v>6.163939</v>
      </c>
      <c r="D32" s="18" t="n">
        <v>340</v>
      </c>
      <c r="E32" s="18" t="n">
        <v>39</v>
      </c>
      <c r="F32" s="19" t="s">
        <v>6</v>
      </c>
      <c r="G32" s="20" t="n">
        <f aca="false">SIN(RADIANS(D32))</f>
        <v>-0.342020143325669</v>
      </c>
      <c r="H32" s="20" t="n">
        <f aca="false">COS(RADIANS(D32))</f>
        <v>0.939692620785908</v>
      </c>
    </row>
    <row r="33" customFormat="false" ht="15" hidden="false" customHeight="false" outlineLevel="0" collapsed="false">
      <c r="A33" s="16" t="s">
        <v>25</v>
      </c>
      <c r="B33" s="17" t="n">
        <v>50.70642</v>
      </c>
      <c r="C33" s="17" t="n">
        <v>6.163939</v>
      </c>
      <c r="D33" s="18" t="n">
        <v>336</v>
      </c>
      <c r="E33" s="18" t="n">
        <v>36</v>
      </c>
      <c r="F33" s="19" t="s">
        <v>6</v>
      </c>
      <c r="G33" s="20" t="n">
        <f aca="false">SIN(RADIANS(D33))</f>
        <v>-0.4067366430758</v>
      </c>
      <c r="H33" s="20" t="n">
        <f aca="false">COS(RADIANS(D33))</f>
        <v>0.913545457642601</v>
      </c>
    </row>
    <row r="34" customFormat="false" ht="15" hidden="false" customHeight="false" outlineLevel="0" collapsed="false">
      <c r="A34" s="29" t="s">
        <v>25</v>
      </c>
      <c r="B34" s="30" t="n">
        <v>50.70642</v>
      </c>
      <c r="C34" s="30" t="n">
        <v>6.163939</v>
      </c>
      <c r="D34" s="31" t="n">
        <v>243</v>
      </c>
      <c r="E34" s="31" t="n">
        <v>85</v>
      </c>
      <c r="F34" s="32" t="s">
        <v>12</v>
      </c>
      <c r="G34" s="20" t="n">
        <f aca="false">SIN(RADIANS(D34))</f>
        <v>-0.891006524188368</v>
      </c>
      <c r="H34" s="20" t="n">
        <f aca="false">COS(RADIANS(D34))</f>
        <v>-0.453990499739547</v>
      </c>
    </row>
    <row r="35" customFormat="false" ht="15" hidden="false" customHeight="false" outlineLevel="0" collapsed="false">
      <c r="A35" s="29" t="s">
        <v>25</v>
      </c>
      <c r="B35" s="30" t="n">
        <v>50.70642</v>
      </c>
      <c r="C35" s="30" t="n">
        <v>6.163939</v>
      </c>
      <c r="D35" s="31" t="n">
        <v>225</v>
      </c>
      <c r="E35" s="31" t="n">
        <v>74</v>
      </c>
      <c r="F35" s="32" t="s">
        <v>12</v>
      </c>
      <c r="G35" s="20" t="n">
        <f aca="false">SIN(RADIANS(D35))</f>
        <v>-0.707106781186548</v>
      </c>
      <c r="H35" s="20" t="n">
        <f aca="false">COS(RADIANS(D35))</f>
        <v>-0.707106781186548</v>
      </c>
    </row>
    <row r="36" customFormat="false" ht="15" hidden="false" customHeight="false" outlineLevel="0" collapsed="false">
      <c r="A36" s="16" t="s">
        <v>26</v>
      </c>
      <c r="B36" s="17" t="n">
        <v>50.722749</v>
      </c>
      <c r="C36" s="17" t="n">
        <v>6.197128</v>
      </c>
      <c r="D36" s="18" t="n">
        <v>326</v>
      </c>
      <c r="E36" s="18" t="n">
        <v>37</v>
      </c>
      <c r="F36" s="19" t="s">
        <v>6</v>
      </c>
      <c r="G36" s="20" t="n">
        <f aca="false">SIN(RADIANS(D36))</f>
        <v>-0.559192903470747</v>
      </c>
      <c r="H36" s="20" t="n">
        <f aca="false">COS(RADIANS(D36))</f>
        <v>0.829037572555041</v>
      </c>
    </row>
    <row r="37" customFormat="false" ht="15" hidden="false" customHeight="false" outlineLevel="0" collapsed="false">
      <c r="A37" s="16" t="s">
        <v>26</v>
      </c>
      <c r="B37" s="17" t="n">
        <v>50.722749</v>
      </c>
      <c r="C37" s="17" t="n">
        <v>6.197128</v>
      </c>
      <c r="D37" s="18" t="n">
        <v>324</v>
      </c>
      <c r="E37" s="18" t="n">
        <v>39</v>
      </c>
      <c r="F37" s="19" t="s">
        <v>6</v>
      </c>
      <c r="G37" s="20" t="n">
        <f aca="false">SIN(RADIANS(D37))</f>
        <v>-0.587785252292473</v>
      </c>
      <c r="H37" s="20" t="n">
        <f aca="false">COS(RADIANS(D37))</f>
        <v>0.809016994374947</v>
      </c>
    </row>
    <row r="38" customFormat="false" ht="15" hidden="false" customHeight="false" outlineLevel="0" collapsed="false">
      <c r="A38" s="16" t="s">
        <v>26</v>
      </c>
      <c r="B38" s="17" t="n">
        <v>50.722749</v>
      </c>
      <c r="C38" s="17" t="n">
        <v>6.197128</v>
      </c>
      <c r="D38" s="18" t="n">
        <v>332</v>
      </c>
      <c r="E38" s="18" t="n">
        <v>35</v>
      </c>
      <c r="F38" s="19" t="s">
        <v>6</v>
      </c>
      <c r="G38" s="20" t="n">
        <f aca="false">SIN(RADIANS(D38))</f>
        <v>-0.469471562785891</v>
      </c>
      <c r="H38" s="20" t="n">
        <f aca="false">COS(RADIANS(D38))</f>
        <v>0.882947592858927</v>
      </c>
    </row>
    <row r="39" customFormat="false" ht="15" hidden="false" customHeight="false" outlineLevel="0" collapsed="false">
      <c r="A39" s="21" t="s">
        <v>26</v>
      </c>
      <c r="B39" s="22" t="n">
        <v>50.722749</v>
      </c>
      <c r="C39" s="22" t="n">
        <v>6.197128</v>
      </c>
      <c r="D39" s="23" t="n">
        <v>113</v>
      </c>
      <c r="E39" s="23" t="n">
        <v>70</v>
      </c>
      <c r="F39" s="24" t="s">
        <v>8</v>
      </c>
      <c r="G39" s="20" t="n">
        <f aca="false">SIN(RADIANS(D39))</f>
        <v>0.92050485345244</v>
      </c>
      <c r="H39" s="20" t="n">
        <f aca="false">COS(RADIANS(D39))</f>
        <v>-0.390731128489274</v>
      </c>
    </row>
    <row r="40" customFormat="false" ht="15" hidden="false" customHeight="false" outlineLevel="0" collapsed="false">
      <c r="A40" s="21" t="s">
        <v>26</v>
      </c>
      <c r="B40" s="22" t="n">
        <v>50.722749</v>
      </c>
      <c r="C40" s="22" t="n">
        <v>6.197128</v>
      </c>
      <c r="D40" s="23" t="n">
        <v>110</v>
      </c>
      <c r="E40" s="23" t="n">
        <v>62</v>
      </c>
      <c r="F40" s="24" t="s">
        <v>8</v>
      </c>
      <c r="G40" s="20" t="n">
        <f aca="false">SIN(RADIANS(D40))</f>
        <v>0.939692620785908</v>
      </c>
      <c r="H40" s="20" t="n">
        <f aca="false">COS(RADIANS(D40))</f>
        <v>-0.342020143325669</v>
      </c>
    </row>
    <row r="41" customFormat="false" ht="15" hidden="false" customHeight="false" outlineLevel="0" collapsed="false">
      <c r="A41" s="25" t="s">
        <v>26</v>
      </c>
      <c r="B41" s="26" t="n">
        <v>50.722749</v>
      </c>
      <c r="C41" s="26" t="n">
        <v>6.197128</v>
      </c>
      <c r="D41" s="27" t="n">
        <v>90</v>
      </c>
      <c r="E41" s="27" t="n">
        <v>72</v>
      </c>
      <c r="F41" s="28" t="s">
        <v>10</v>
      </c>
      <c r="G41" s="20" t="n">
        <f aca="false">SIN(RADIANS(D41))</f>
        <v>1</v>
      </c>
      <c r="H41" s="20" t="n">
        <f aca="false">COS(RADIANS(D41))</f>
        <v>6.12323399573677E-017</v>
      </c>
    </row>
    <row r="42" customFormat="false" ht="15" hidden="false" customHeight="false" outlineLevel="0" collapsed="false">
      <c r="A42" s="25" t="s">
        <v>26</v>
      </c>
      <c r="B42" s="26" t="n">
        <v>50.722749</v>
      </c>
      <c r="C42" s="26" t="n">
        <v>6.197128</v>
      </c>
      <c r="D42" s="27" t="n">
        <v>60</v>
      </c>
      <c r="E42" s="27" t="n">
        <v>85</v>
      </c>
      <c r="F42" s="28" t="s">
        <v>10</v>
      </c>
      <c r="G42" s="20" t="n">
        <f aca="false">SIN(RADIANS(D42))</f>
        <v>0.866025403784439</v>
      </c>
      <c r="H42" s="20" t="n">
        <f aca="false">COS(RADIANS(D42))</f>
        <v>0.5</v>
      </c>
    </row>
    <row r="43" customFormat="false" ht="15" hidden="false" customHeight="false" outlineLevel="0" collapsed="false">
      <c r="A43" s="25" t="s">
        <v>26</v>
      </c>
      <c r="B43" s="26" t="n">
        <v>50.722749</v>
      </c>
      <c r="C43" s="26" t="n">
        <v>6.197128</v>
      </c>
      <c r="D43" s="27" t="n">
        <v>39</v>
      </c>
      <c r="E43" s="27" t="n">
        <v>80</v>
      </c>
      <c r="F43" s="28" t="s">
        <v>10</v>
      </c>
      <c r="G43" s="20" t="n">
        <f aca="false">SIN(RADIANS(D43))</f>
        <v>0.629320391049838</v>
      </c>
      <c r="H43" s="20" t="n">
        <f aca="false">COS(RADIANS(D43))</f>
        <v>0.777145961456971</v>
      </c>
    </row>
    <row r="44" customFormat="false" ht="15" hidden="false" customHeight="false" outlineLevel="0" collapsed="false">
      <c r="A44" s="29" t="s">
        <v>26</v>
      </c>
      <c r="B44" s="30" t="n">
        <v>50.722749</v>
      </c>
      <c r="C44" s="30" t="n">
        <v>6.197128</v>
      </c>
      <c r="D44" s="31" t="n">
        <v>200</v>
      </c>
      <c r="E44" s="31" t="n">
        <v>85</v>
      </c>
      <c r="F44" s="32" t="s">
        <v>12</v>
      </c>
      <c r="G44" s="20" t="n">
        <f aca="false">SIN(RADIANS(D44))</f>
        <v>-0.342020143325669</v>
      </c>
      <c r="H44" s="20" t="n">
        <f aca="false">COS(RADIANS(D44))</f>
        <v>-0.939692620785908</v>
      </c>
    </row>
    <row r="45" customFormat="false" ht="15" hidden="false" customHeight="false" outlineLevel="0" collapsed="false">
      <c r="A45" s="29" t="s">
        <v>26</v>
      </c>
      <c r="B45" s="30" t="n">
        <v>50.722749</v>
      </c>
      <c r="C45" s="30" t="n">
        <v>6.197128</v>
      </c>
      <c r="D45" s="31" t="n">
        <v>222</v>
      </c>
      <c r="E45" s="31" t="n">
        <v>80</v>
      </c>
      <c r="F45" s="32" t="s">
        <v>12</v>
      </c>
      <c r="G45" s="20" t="n">
        <f aca="false">SIN(RADIANS(D45))</f>
        <v>-0.669130606358858</v>
      </c>
      <c r="H45" s="20" t="n">
        <f aca="false">COS(RADIANS(D45))</f>
        <v>-0.743144825477394</v>
      </c>
    </row>
    <row r="46" customFormat="false" ht="15" hidden="false" customHeight="false" outlineLevel="0" collapsed="false">
      <c r="A46" s="29" t="s">
        <v>26</v>
      </c>
      <c r="B46" s="30" t="n">
        <v>50.722749</v>
      </c>
      <c r="C46" s="30" t="n">
        <v>6.197128</v>
      </c>
      <c r="D46" s="31" t="n">
        <v>200</v>
      </c>
      <c r="E46" s="31" t="n">
        <v>79</v>
      </c>
      <c r="F46" s="32" t="s">
        <v>12</v>
      </c>
      <c r="G46" s="20" t="n">
        <f aca="false">SIN(RADIANS(D46))</f>
        <v>-0.342020143325669</v>
      </c>
      <c r="H46" s="20" t="n">
        <f aca="false">COS(RADIANS(D46))</f>
        <v>-0.939692620785908</v>
      </c>
    </row>
    <row r="47" customFormat="false" ht="15" hidden="false" customHeight="false" outlineLevel="0" collapsed="false">
      <c r="A47" s="29" t="s">
        <v>26</v>
      </c>
      <c r="B47" s="30" t="n">
        <v>50.722749</v>
      </c>
      <c r="C47" s="30" t="n">
        <v>6.197128</v>
      </c>
      <c r="D47" s="31" t="n">
        <v>270</v>
      </c>
      <c r="E47" s="31" t="n">
        <v>88</v>
      </c>
      <c r="F47" s="32" t="s">
        <v>12</v>
      </c>
      <c r="G47" s="20" t="n">
        <f aca="false">SIN(RADIANS(D47))</f>
        <v>-1</v>
      </c>
      <c r="H47" s="20" t="n">
        <f aca="false">COS(RADIANS(D47))</f>
        <v>-1.83697019872103E-016</v>
      </c>
    </row>
    <row r="48" customFormat="false" ht="15" hidden="false" customHeight="false" outlineLevel="0" collapsed="false">
      <c r="A48" s="16" t="s">
        <v>27</v>
      </c>
      <c r="B48" s="17" t="n">
        <v>50.734278</v>
      </c>
      <c r="C48" s="17" t="n">
        <v>6.176882</v>
      </c>
      <c r="D48" s="18" t="n">
        <v>290</v>
      </c>
      <c r="E48" s="18" t="n">
        <v>38</v>
      </c>
      <c r="F48" s="19" t="s">
        <v>6</v>
      </c>
      <c r="G48" s="20" t="n">
        <f aca="false">SIN(RADIANS(D48))</f>
        <v>-0.939692620785908</v>
      </c>
      <c r="H48" s="20" t="n">
        <f aca="false">COS(RADIANS(D48))</f>
        <v>0.342020143325669</v>
      </c>
    </row>
    <row r="49" customFormat="false" ht="15" hidden="false" customHeight="false" outlineLevel="0" collapsed="false">
      <c r="A49" s="16" t="s">
        <v>27</v>
      </c>
      <c r="B49" s="17" t="n">
        <v>50.734278</v>
      </c>
      <c r="C49" s="17" t="n">
        <v>6.176882</v>
      </c>
      <c r="D49" s="18" t="n">
        <v>290</v>
      </c>
      <c r="E49" s="18" t="n">
        <v>32</v>
      </c>
      <c r="F49" s="19" t="s">
        <v>6</v>
      </c>
      <c r="G49" s="20" t="n">
        <f aca="false">SIN(RADIANS(D49))</f>
        <v>-0.939692620785908</v>
      </c>
      <c r="H49" s="20" t="n">
        <f aca="false">COS(RADIANS(D49))</f>
        <v>0.342020143325669</v>
      </c>
    </row>
    <row r="50" customFormat="false" ht="15" hidden="false" customHeight="false" outlineLevel="0" collapsed="false">
      <c r="A50" s="16" t="s">
        <v>27</v>
      </c>
      <c r="B50" s="17" t="n">
        <v>50.734278</v>
      </c>
      <c r="C50" s="17" t="n">
        <v>6.176882</v>
      </c>
      <c r="D50" s="18" t="n">
        <v>305</v>
      </c>
      <c r="E50" s="18" t="n">
        <v>40</v>
      </c>
      <c r="F50" s="19" t="s">
        <v>6</v>
      </c>
      <c r="G50" s="20" t="n">
        <f aca="false">SIN(RADIANS(D50))</f>
        <v>-0.819152044288992</v>
      </c>
      <c r="H50" s="20" t="n">
        <f aca="false">COS(RADIANS(D50))</f>
        <v>0.573576436351046</v>
      </c>
    </row>
    <row r="51" customFormat="false" ht="15" hidden="false" customHeight="false" outlineLevel="0" collapsed="false">
      <c r="A51" s="16" t="s">
        <v>27</v>
      </c>
      <c r="B51" s="17" t="n">
        <v>50.734278</v>
      </c>
      <c r="C51" s="17" t="n">
        <v>6.176882</v>
      </c>
      <c r="D51" s="18" t="n">
        <v>328</v>
      </c>
      <c r="E51" s="18" t="n">
        <v>30</v>
      </c>
      <c r="F51" s="19" t="s">
        <v>6</v>
      </c>
      <c r="G51" s="20" t="n">
        <f aca="false">SIN(RADIANS(D51))</f>
        <v>-0.529919264233205</v>
      </c>
      <c r="H51" s="20" t="n">
        <f aca="false">COS(RADIANS(D51))</f>
        <v>0.848048096156426</v>
      </c>
    </row>
    <row r="52" customFormat="false" ht="15" hidden="false" customHeight="false" outlineLevel="0" collapsed="false">
      <c r="A52" s="16" t="s">
        <v>27</v>
      </c>
      <c r="B52" s="17" t="n">
        <v>50.734278</v>
      </c>
      <c r="C52" s="17" t="n">
        <v>6.176882</v>
      </c>
      <c r="D52" s="18" t="n">
        <v>320</v>
      </c>
      <c r="E52" s="18" t="n">
        <v>35</v>
      </c>
      <c r="F52" s="19" t="s">
        <v>6</v>
      </c>
      <c r="G52" s="20" t="n">
        <f aca="false">SIN(RADIANS(D52))</f>
        <v>-0.64278760968654</v>
      </c>
      <c r="H52" s="20" t="n">
        <f aca="false">COS(RADIANS(D52))</f>
        <v>0.766044443118978</v>
      </c>
    </row>
    <row r="53" customFormat="false" ht="15" hidden="false" customHeight="false" outlineLevel="0" collapsed="false">
      <c r="A53" s="16" t="s">
        <v>27</v>
      </c>
      <c r="B53" s="17" t="n">
        <v>50.734278</v>
      </c>
      <c r="C53" s="17" t="n">
        <v>6.176882</v>
      </c>
      <c r="D53" s="18" t="n">
        <v>330</v>
      </c>
      <c r="E53" s="18" t="n">
        <v>65</v>
      </c>
      <c r="F53" s="19" t="s">
        <v>6</v>
      </c>
      <c r="G53" s="20" t="n">
        <f aca="false">SIN(RADIANS(D53))</f>
        <v>-0.5</v>
      </c>
      <c r="H53" s="20" t="n">
        <f aca="false">COS(RADIANS(D53))</f>
        <v>0.866025403784438</v>
      </c>
    </row>
    <row r="54" customFormat="false" ht="15" hidden="false" customHeight="false" outlineLevel="0" collapsed="false">
      <c r="A54" s="21" t="s">
        <v>27</v>
      </c>
      <c r="B54" s="22" t="n">
        <v>50.734278</v>
      </c>
      <c r="C54" s="22" t="n">
        <v>6.176882</v>
      </c>
      <c r="D54" s="23" t="n">
        <v>144</v>
      </c>
      <c r="E54" s="23" t="n">
        <v>75</v>
      </c>
      <c r="F54" s="24" t="s">
        <v>8</v>
      </c>
      <c r="G54" s="20" t="n">
        <f aca="false">SIN(RADIANS(D54))</f>
        <v>0.587785252292473</v>
      </c>
      <c r="H54" s="20" t="n">
        <f aca="false">COS(RADIANS(D54))</f>
        <v>-0.809016994374947</v>
      </c>
    </row>
    <row r="55" customFormat="false" ht="15" hidden="false" customHeight="false" outlineLevel="0" collapsed="false">
      <c r="A55" s="21" t="s">
        <v>27</v>
      </c>
      <c r="B55" s="22" t="n">
        <v>50.734278</v>
      </c>
      <c r="C55" s="22" t="n">
        <v>6.176882</v>
      </c>
      <c r="D55" s="23" t="n">
        <v>145</v>
      </c>
      <c r="E55" s="23" t="n">
        <v>45</v>
      </c>
      <c r="F55" s="24" t="s">
        <v>8</v>
      </c>
      <c r="G55" s="20" t="n">
        <f aca="false">SIN(RADIANS(D55))</f>
        <v>0.573576436351046</v>
      </c>
      <c r="H55" s="20" t="n">
        <f aca="false">COS(RADIANS(D55))</f>
        <v>-0.819152044288992</v>
      </c>
    </row>
    <row r="56" customFormat="false" ht="15" hidden="false" customHeight="false" outlineLevel="0" collapsed="false">
      <c r="A56" s="21" t="s">
        <v>27</v>
      </c>
      <c r="B56" s="22" t="n">
        <v>50.734278</v>
      </c>
      <c r="C56" s="22" t="n">
        <v>6.176882</v>
      </c>
      <c r="D56" s="23" t="n">
        <v>145</v>
      </c>
      <c r="E56" s="23" t="n">
        <v>50</v>
      </c>
      <c r="F56" s="24" t="s">
        <v>8</v>
      </c>
      <c r="G56" s="20" t="n">
        <f aca="false">SIN(RADIANS(D56))</f>
        <v>0.573576436351046</v>
      </c>
      <c r="H56" s="20" t="n">
        <f aca="false">COS(RADIANS(D56))</f>
        <v>-0.819152044288992</v>
      </c>
    </row>
    <row r="57" customFormat="false" ht="15" hidden="false" customHeight="false" outlineLevel="0" collapsed="false">
      <c r="A57" s="21" t="s">
        <v>27</v>
      </c>
      <c r="B57" s="22" t="n">
        <v>50.734278</v>
      </c>
      <c r="C57" s="22" t="n">
        <v>6.176882</v>
      </c>
      <c r="D57" s="23" t="n">
        <v>135</v>
      </c>
      <c r="E57" s="23" t="n">
        <v>52</v>
      </c>
      <c r="F57" s="24" t="s">
        <v>8</v>
      </c>
      <c r="G57" s="20" t="n">
        <f aca="false">SIN(RADIANS(D57))</f>
        <v>0.707106781186548</v>
      </c>
      <c r="H57" s="20" t="n">
        <f aca="false">COS(RADIANS(D57))</f>
        <v>-0.707106781186548</v>
      </c>
    </row>
    <row r="58" customFormat="false" ht="15" hidden="false" customHeight="false" outlineLevel="0" collapsed="false">
      <c r="A58" s="29" t="s">
        <v>27</v>
      </c>
      <c r="B58" s="30" t="n">
        <v>50.734278</v>
      </c>
      <c r="C58" s="30" t="n">
        <v>6.176882</v>
      </c>
      <c r="D58" s="31" t="n">
        <v>238</v>
      </c>
      <c r="E58" s="31" t="n">
        <v>78</v>
      </c>
      <c r="F58" s="32" t="s">
        <v>12</v>
      </c>
      <c r="G58" s="20" t="n">
        <f aca="false">SIN(RADIANS(D58))</f>
        <v>-0.848048096156426</v>
      </c>
      <c r="H58" s="20" t="n">
        <f aca="false">COS(RADIANS(D58))</f>
        <v>-0.529919264233205</v>
      </c>
    </row>
    <row r="59" customFormat="false" ht="15" hidden="false" customHeight="false" outlineLevel="0" collapsed="false">
      <c r="A59" s="29" t="s">
        <v>27</v>
      </c>
      <c r="B59" s="30" t="n">
        <v>50.734278</v>
      </c>
      <c r="C59" s="30" t="n">
        <v>6.176882</v>
      </c>
      <c r="D59" s="31" t="n">
        <v>238</v>
      </c>
      <c r="E59" s="31" t="n">
        <v>80</v>
      </c>
      <c r="F59" s="32" t="s">
        <v>12</v>
      </c>
      <c r="G59" s="20" t="n">
        <f aca="false">SIN(RADIANS(D59))</f>
        <v>-0.848048096156426</v>
      </c>
      <c r="H59" s="20" t="n">
        <f aca="false">COS(RADIANS(D59))</f>
        <v>-0.529919264233205</v>
      </c>
    </row>
    <row r="60" customFormat="false" ht="15" hidden="false" customHeight="false" outlineLevel="0" collapsed="false">
      <c r="A60" s="29" t="s">
        <v>27</v>
      </c>
      <c r="B60" s="30" t="n">
        <v>50.734278</v>
      </c>
      <c r="C60" s="30" t="n">
        <v>6.176882</v>
      </c>
      <c r="D60" s="31" t="n">
        <v>242</v>
      </c>
      <c r="E60" s="31" t="n">
        <v>87</v>
      </c>
      <c r="F60" s="32" t="s">
        <v>12</v>
      </c>
      <c r="G60" s="20" t="n">
        <f aca="false">SIN(RADIANS(D60))</f>
        <v>-0.882947592858927</v>
      </c>
      <c r="H60" s="20" t="n">
        <f aca="false">COS(RADIANS(D60))</f>
        <v>-0.469471562785891</v>
      </c>
    </row>
    <row r="61" customFormat="false" ht="15" hidden="false" customHeight="false" outlineLevel="0" collapsed="false">
      <c r="A61" s="29" t="s">
        <v>27</v>
      </c>
      <c r="B61" s="30" t="n">
        <v>50.734278</v>
      </c>
      <c r="C61" s="30" t="n">
        <v>6.176882</v>
      </c>
      <c r="D61" s="31" t="n">
        <v>232</v>
      </c>
      <c r="E61" s="31" t="n">
        <v>82</v>
      </c>
      <c r="F61" s="32" t="s">
        <v>12</v>
      </c>
      <c r="G61" s="20" t="n">
        <f aca="false">SIN(RADIANS(D61))</f>
        <v>-0.788010753606722</v>
      </c>
      <c r="H61" s="20" t="n">
        <f aca="false">COS(RADIANS(D61))</f>
        <v>-0.615661475325658</v>
      </c>
    </row>
    <row r="62" customFormat="false" ht="15" hidden="false" customHeight="false" outlineLevel="0" collapsed="false">
      <c r="A62" s="29" t="s">
        <v>27</v>
      </c>
      <c r="B62" s="30" t="n">
        <v>50.734278</v>
      </c>
      <c r="C62" s="30" t="n">
        <v>6.176882</v>
      </c>
      <c r="D62" s="31" t="n">
        <v>225</v>
      </c>
      <c r="E62" s="31" t="n">
        <v>89</v>
      </c>
      <c r="F62" s="32" t="s">
        <v>12</v>
      </c>
      <c r="G62" s="20" t="n">
        <f aca="false">SIN(RADIANS(D62))</f>
        <v>-0.707106781186548</v>
      </c>
      <c r="H62" s="20" t="n">
        <f aca="false">COS(RADIANS(D62))</f>
        <v>-0.707106781186548</v>
      </c>
    </row>
    <row r="63" customFormat="false" ht="15" hidden="false" customHeight="false" outlineLevel="0" collapsed="false">
      <c r="A63" s="16" t="s">
        <v>28</v>
      </c>
      <c r="B63" s="17" t="n">
        <v>50.7001849999999</v>
      </c>
      <c r="C63" s="17" t="n">
        <v>6.183399</v>
      </c>
      <c r="D63" s="18" t="n">
        <v>341</v>
      </c>
      <c r="E63" s="18" t="n">
        <v>52</v>
      </c>
      <c r="F63" s="19" t="s">
        <v>6</v>
      </c>
      <c r="G63" s="20" t="n">
        <f aca="false">SIN(RADIANS(D63))</f>
        <v>-0.325568154457157</v>
      </c>
      <c r="H63" s="20" t="n">
        <f aca="false">COS(RADIANS(D63))</f>
        <v>0.945518575599317</v>
      </c>
    </row>
    <row r="64" customFormat="false" ht="15" hidden="false" customHeight="false" outlineLevel="0" collapsed="false">
      <c r="A64" s="16" t="s">
        <v>28</v>
      </c>
      <c r="B64" s="17" t="n">
        <v>50.7001849999999</v>
      </c>
      <c r="C64" s="17" t="n">
        <v>6.183399</v>
      </c>
      <c r="D64" s="18" t="n">
        <v>350</v>
      </c>
      <c r="E64" s="18" t="n">
        <v>55</v>
      </c>
      <c r="F64" s="19" t="s">
        <v>6</v>
      </c>
      <c r="G64" s="20" t="n">
        <f aca="false">SIN(RADIANS(D64))</f>
        <v>-0.17364817766693</v>
      </c>
      <c r="H64" s="20" t="n">
        <f aca="false">COS(RADIANS(D64))</f>
        <v>0.984807753012208</v>
      </c>
    </row>
    <row r="65" customFormat="false" ht="15" hidden="false" customHeight="false" outlineLevel="0" collapsed="false">
      <c r="A65" s="16" t="s">
        <v>28</v>
      </c>
      <c r="B65" s="17" t="n">
        <v>50.7001849999999</v>
      </c>
      <c r="C65" s="17" t="n">
        <v>6.183399</v>
      </c>
      <c r="D65" s="18" t="n">
        <v>332</v>
      </c>
      <c r="E65" s="18" t="n">
        <v>58</v>
      </c>
      <c r="F65" s="19" t="s">
        <v>6</v>
      </c>
      <c r="G65" s="20" t="n">
        <f aca="false">SIN(RADIANS(D65))</f>
        <v>-0.469471562785891</v>
      </c>
      <c r="H65" s="20" t="n">
        <f aca="false">COS(RADIANS(D65))</f>
        <v>0.882947592858927</v>
      </c>
    </row>
    <row r="66" customFormat="false" ht="15" hidden="false" customHeight="false" outlineLevel="0" collapsed="false">
      <c r="A66" s="21" t="s">
        <v>28</v>
      </c>
      <c r="B66" s="22" t="n">
        <v>50.7001849999999</v>
      </c>
      <c r="C66" s="22" t="n">
        <v>6.183399</v>
      </c>
      <c r="D66" s="23" t="n">
        <v>174</v>
      </c>
      <c r="E66" s="23" t="n">
        <v>40</v>
      </c>
      <c r="F66" s="24" t="s">
        <v>8</v>
      </c>
      <c r="G66" s="20" t="n">
        <f aca="false">SIN(RADIANS(D66))</f>
        <v>0.104528463267654</v>
      </c>
      <c r="H66" s="20" t="n">
        <f aca="false">COS(RADIANS(D66))</f>
        <v>-0.994521895368273</v>
      </c>
    </row>
    <row r="67" customFormat="false" ht="15" hidden="false" customHeight="false" outlineLevel="0" collapsed="false">
      <c r="A67" s="21" t="s">
        <v>28</v>
      </c>
      <c r="B67" s="22" t="n">
        <v>50.7001849999999</v>
      </c>
      <c r="C67" s="22" t="n">
        <v>6.183399</v>
      </c>
      <c r="D67" s="23" t="n">
        <v>149</v>
      </c>
      <c r="E67" s="23" t="n">
        <v>31</v>
      </c>
      <c r="F67" s="24" t="s">
        <v>8</v>
      </c>
      <c r="G67" s="20" t="n">
        <f aca="false">SIN(RADIANS(D67))</f>
        <v>0.515038074910054</v>
      </c>
      <c r="H67" s="20" t="n">
        <f aca="false">COS(RADIANS(D67))</f>
        <v>-0.857167300702112</v>
      </c>
    </row>
    <row r="68" customFormat="false" ht="15" hidden="false" customHeight="false" outlineLevel="0" collapsed="false">
      <c r="A68" s="25" t="s">
        <v>28</v>
      </c>
      <c r="B68" s="26" t="n">
        <v>50.7001849999999</v>
      </c>
      <c r="C68" s="26" t="n">
        <v>6.183399</v>
      </c>
      <c r="D68" s="27" t="n">
        <v>80</v>
      </c>
      <c r="E68" s="27" t="n">
        <v>80</v>
      </c>
      <c r="F68" s="28" t="s">
        <v>10</v>
      </c>
      <c r="G68" s="20" t="n">
        <f aca="false">SIN(RADIANS(D68))</f>
        <v>0.984807753012208</v>
      </c>
      <c r="H68" s="20" t="n">
        <f aca="false">COS(RADIANS(D68))</f>
        <v>0.17364817766693</v>
      </c>
    </row>
    <row r="69" customFormat="false" ht="15" hidden="false" customHeight="false" outlineLevel="0" collapsed="false">
      <c r="A69" s="25" t="s">
        <v>28</v>
      </c>
      <c r="B69" s="26" t="n">
        <v>50.7001849999999</v>
      </c>
      <c r="C69" s="26" t="n">
        <v>6.183399</v>
      </c>
      <c r="D69" s="27" t="n">
        <v>82</v>
      </c>
      <c r="E69" s="27" t="n">
        <v>82</v>
      </c>
      <c r="F69" s="28" t="s">
        <v>10</v>
      </c>
      <c r="G69" s="20" t="n">
        <f aca="false">SIN(RADIANS(D69))</f>
        <v>0.99026806874157</v>
      </c>
      <c r="H69" s="20" t="n">
        <f aca="false">COS(RADIANS(D69))</f>
        <v>0.139173100960065</v>
      </c>
    </row>
    <row r="70" customFormat="false" ht="15" hidden="false" customHeight="false" outlineLevel="0" collapsed="false">
      <c r="A70" s="25" t="s">
        <v>28</v>
      </c>
      <c r="B70" s="26" t="n">
        <v>50.7001849999999</v>
      </c>
      <c r="C70" s="26" t="n">
        <v>6.183399</v>
      </c>
      <c r="D70" s="27" t="n">
        <v>88</v>
      </c>
      <c r="E70" s="27" t="n">
        <v>78</v>
      </c>
      <c r="F70" s="28" t="s">
        <v>10</v>
      </c>
      <c r="G70" s="20" t="n">
        <f aca="false">SIN(RADIANS(D70))</f>
        <v>0.999390827019096</v>
      </c>
      <c r="H70" s="20" t="n">
        <f aca="false">COS(RADIANS(D70))</f>
        <v>0.0348994967025011</v>
      </c>
    </row>
    <row r="71" customFormat="false" ht="15" hidden="false" customHeight="false" outlineLevel="0" collapsed="false">
      <c r="A71" s="29" t="s">
        <v>28</v>
      </c>
      <c r="B71" s="30" t="n">
        <v>50.7001849999999</v>
      </c>
      <c r="C71" s="30" t="n">
        <v>6.183399</v>
      </c>
      <c r="D71" s="31" t="n">
        <v>220</v>
      </c>
      <c r="E71" s="31" t="n">
        <v>35</v>
      </c>
      <c r="F71" s="32" t="s">
        <v>12</v>
      </c>
      <c r="G71" s="20" t="n">
        <f aca="false">SIN(RADIANS(D71))</f>
        <v>-0.642787609686539</v>
      </c>
      <c r="H71" s="20" t="n">
        <f aca="false">COS(RADIANS(D71))</f>
        <v>-0.766044443118978</v>
      </c>
    </row>
    <row r="72" customFormat="false" ht="15" hidden="false" customHeight="false" outlineLevel="0" collapsed="false">
      <c r="A72" s="16" t="s">
        <v>29</v>
      </c>
      <c r="B72" s="17" t="n">
        <v>50.700153</v>
      </c>
      <c r="C72" s="17" t="n">
        <v>6.183458</v>
      </c>
      <c r="D72" s="18" t="n">
        <v>338</v>
      </c>
      <c r="E72" s="18" t="n">
        <v>55</v>
      </c>
      <c r="F72" s="19" t="s">
        <v>6</v>
      </c>
      <c r="G72" s="20" t="n">
        <f aca="false">SIN(RADIANS(D72))</f>
        <v>-0.374606593415912</v>
      </c>
      <c r="H72" s="20" t="n">
        <f aca="false">COS(RADIANS(D72))</f>
        <v>0.927183854566787</v>
      </c>
    </row>
    <row r="73" customFormat="false" ht="15" hidden="false" customHeight="false" outlineLevel="0" collapsed="false">
      <c r="A73" s="16" t="s">
        <v>29</v>
      </c>
      <c r="B73" s="17" t="n">
        <v>50.700153</v>
      </c>
      <c r="C73" s="17" t="n">
        <v>6.183458</v>
      </c>
      <c r="D73" s="18" t="n">
        <v>339</v>
      </c>
      <c r="E73" s="18" t="n">
        <v>55</v>
      </c>
      <c r="F73" s="19" t="s">
        <v>6</v>
      </c>
      <c r="G73" s="20" t="n">
        <f aca="false">SIN(RADIANS(D73))</f>
        <v>-0.358367949545301</v>
      </c>
      <c r="H73" s="20" t="n">
        <f aca="false">COS(RADIANS(D73))</f>
        <v>0.933580426497202</v>
      </c>
    </row>
    <row r="74" customFormat="false" ht="15" hidden="false" customHeight="false" outlineLevel="0" collapsed="false">
      <c r="A74" s="16" t="s">
        <v>29</v>
      </c>
      <c r="B74" s="17" t="n">
        <v>50.700153</v>
      </c>
      <c r="C74" s="17" t="n">
        <v>6.183458</v>
      </c>
      <c r="D74" s="18" t="n">
        <v>342</v>
      </c>
      <c r="E74" s="18" t="n">
        <v>55</v>
      </c>
      <c r="F74" s="19" t="s">
        <v>6</v>
      </c>
      <c r="G74" s="20" t="n">
        <f aca="false">SIN(RADIANS(D74))</f>
        <v>-0.309016994374948</v>
      </c>
      <c r="H74" s="20" t="n">
        <f aca="false">COS(RADIANS(D74))</f>
        <v>0.951056516295154</v>
      </c>
    </row>
    <row r="75" customFormat="false" ht="15" hidden="false" customHeight="false" outlineLevel="0" collapsed="false">
      <c r="A75" s="25" t="s">
        <v>29</v>
      </c>
      <c r="B75" s="26" t="n">
        <v>50.700153</v>
      </c>
      <c r="C75" s="26" t="n">
        <v>6.183458</v>
      </c>
      <c r="D75" s="27" t="n">
        <v>92</v>
      </c>
      <c r="E75" s="27" t="n">
        <v>65</v>
      </c>
      <c r="F75" s="28" t="s">
        <v>10</v>
      </c>
      <c r="G75" s="20" t="n">
        <f aca="false">SIN(RADIANS(D75))</f>
        <v>0.999390827019096</v>
      </c>
      <c r="H75" s="20" t="n">
        <f aca="false">COS(RADIANS(D75))</f>
        <v>-0.0348994967025007</v>
      </c>
    </row>
    <row r="76" customFormat="false" ht="15" hidden="false" customHeight="false" outlineLevel="0" collapsed="false">
      <c r="A76" s="25" t="s">
        <v>29</v>
      </c>
      <c r="B76" s="26" t="n">
        <v>50.700153</v>
      </c>
      <c r="C76" s="26" t="n">
        <v>6.183458</v>
      </c>
      <c r="D76" s="27" t="n">
        <v>95</v>
      </c>
      <c r="E76" s="27" t="n">
        <v>65</v>
      </c>
      <c r="F76" s="28" t="s">
        <v>10</v>
      </c>
      <c r="G76" s="20" t="n">
        <f aca="false">SIN(RADIANS(D76))</f>
        <v>0.996194698091746</v>
      </c>
      <c r="H76" s="20" t="n">
        <f aca="false">COS(RADIANS(D76))</f>
        <v>-0.0871557427476582</v>
      </c>
    </row>
    <row r="77" customFormat="false" ht="15" hidden="false" customHeight="false" outlineLevel="0" collapsed="false">
      <c r="A77" s="25" t="s">
        <v>29</v>
      </c>
      <c r="B77" s="26" t="n">
        <v>50.700153</v>
      </c>
      <c r="C77" s="26" t="n">
        <v>6.183458</v>
      </c>
      <c r="D77" s="27" t="n">
        <v>81</v>
      </c>
      <c r="E77" s="27" t="n">
        <v>65</v>
      </c>
      <c r="F77" s="28" t="s">
        <v>10</v>
      </c>
      <c r="G77" s="20" t="n">
        <f aca="false">SIN(RADIANS(D77))</f>
        <v>0.987688340595138</v>
      </c>
      <c r="H77" s="20" t="n">
        <f aca="false">COS(RADIANS(D77))</f>
        <v>0.156434465040231</v>
      </c>
    </row>
    <row r="78" customFormat="false" ht="15" hidden="false" customHeight="false" outlineLevel="0" collapsed="false">
      <c r="A78" s="29" t="s">
        <v>29</v>
      </c>
      <c r="B78" s="30" t="n">
        <v>50.700153</v>
      </c>
      <c r="C78" s="30" t="n">
        <v>6.183458</v>
      </c>
      <c r="D78" s="31" t="n">
        <v>245</v>
      </c>
      <c r="E78" s="31" t="n">
        <v>82</v>
      </c>
      <c r="F78" s="32" t="s">
        <v>12</v>
      </c>
      <c r="G78" s="20" t="n">
        <f aca="false">SIN(RADIANS(D78))</f>
        <v>-0.90630778703665</v>
      </c>
      <c r="H78" s="20" t="n">
        <f aca="false">COS(RADIANS(D78))</f>
        <v>-0.422618261740699</v>
      </c>
    </row>
    <row r="79" customFormat="false" ht="15" hidden="false" customHeight="false" outlineLevel="0" collapsed="false">
      <c r="A79" s="29" t="s">
        <v>29</v>
      </c>
      <c r="B79" s="30" t="n">
        <v>50.700153</v>
      </c>
      <c r="C79" s="30" t="n">
        <v>6.183458</v>
      </c>
      <c r="D79" s="31" t="n">
        <v>246</v>
      </c>
      <c r="E79" s="31" t="n">
        <v>80</v>
      </c>
      <c r="F79" s="32" t="s">
        <v>12</v>
      </c>
      <c r="G79" s="20" t="n">
        <f aca="false">SIN(RADIANS(D79))</f>
        <v>-0.913545457642601</v>
      </c>
      <c r="H79" s="20" t="n">
        <f aca="false">COS(RADIANS(D79))</f>
        <v>-0.4067366430758</v>
      </c>
    </row>
    <row r="80" customFormat="false" ht="15" hidden="false" customHeight="false" outlineLevel="0" collapsed="false">
      <c r="A80" s="29" t="s">
        <v>29</v>
      </c>
      <c r="B80" s="30" t="n">
        <v>50.700153</v>
      </c>
      <c r="C80" s="30" t="n">
        <v>6.183458</v>
      </c>
      <c r="D80" s="31" t="n">
        <v>248</v>
      </c>
      <c r="E80" s="31" t="n">
        <v>80</v>
      </c>
      <c r="F80" s="32" t="s">
        <v>12</v>
      </c>
      <c r="G80" s="20" t="n">
        <f aca="false">SIN(RADIANS(D80))</f>
        <v>-0.927183854566787</v>
      </c>
      <c r="H80" s="20" t="n">
        <f aca="false">COS(RADIANS(D80))</f>
        <v>-0.374606593415912</v>
      </c>
    </row>
    <row r="81" customFormat="false" ht="15" hidden="false" customHeight="false" outlineLevel="0" collapsed="false">
      <c r="A81" s="16" t="s">
        <v>30</v>
      </c>
      <c r="B81" s="17" t="n">
        <v>50.704397</v>
      </c>
      <c r="C81" s="17" t="n">
        <v>6.186071</v>
      </c>
      <c r="D81" s="18" t="n">
        <v>325</v>
      </c>
      <c r="E81" s="18" t="n">
        <v>85</v>
      </c>
      <c r="F81" s="19" t="s">
        <v>6</v>
      </c>
      <c r="G81" s="20" t="n">
        <f aca="false">SIN(RADIANS(D81))</f>
        <v>-0.573576436351047</v>
      </c>
      <c r="H81" s="20" t="n">
        <f aca="false">COS(RADIANS(D81))</f>
        <v>0.819152044288992</v>
      </c>
    </row>
    <row r="82" customFormat="false" ht="15" hidden="false" customHeight="false" outlineLevel="0" collapsed="false">
      <c r="A82" s="16" t="s">
        <v>30</v>
      </c>
      <c r="B82" s="17" t="n">
        <v>50.704397</v>
      </c>
      <c r="C82" s="17" t="n">
        <v>6.186071</v>
      </c>
      <c r="D82" s="18" t="n">
        <v>333</v>
      </c>
      <c r="E82" s="18" t="n">
        <v>85</v>
      </c>
      <c r="F82" s="19" t="s">
        <v>6</v>
      </c>
      <c r="G82" s="20" t="n">
        <f aca="false">SIN(RADIANS(D82))</f>
        <v>-0.453990499739547</v>
      </c>
      <c r="H82" s="20" t="n">
        <f aca="false">COS(RADIANS(D82))</f>
        <v>0.891006524188368</v>
      </c>
    </row>
    <row r="83" customFormat="false" ht="15" hidden="false" customHeight="false" outlineLevel="0" collapsed="false">
      <c r="A83" s="25" t="s">
        <v>30</v>
      </c>
      <c r="B83" s="26" t="n">
        <v>50.704397</v>
      </c>
      <c r="C83" s="26" t="n">
        <v>6.186071</v>
      </c>
      <c r="D83" s="27" t="n">
        <v>67</v>
      </c>
      <c r="E83" s="27" t="n">
        <v>29</v>
      </c>
      <c r="F83" s="28" t="s">
        <v>10</v>
      </c>
      <c r="G83" s="20" t="n">
        <f aca="false">SIN(RADIANS(D83))</f>
        <v>0.92050485345244</v>
      </c>
      <c r="H83" s="20" t="n">
        <f aca="false">COS(RADIANS(D83))</f>
        <v>0.390731128489274</v>
      </c>
    </row>
    <row r="84" customFormat="false" ht="15" hidden="false" customHeight="false" outlineLevel="0" collapsed="false">
      <c r="A84" s="25" t="s">
        <v>30</v>
      </c>
      <c r="B84" s="26" t="n">
        <v>50.704397</v>
      </c>
      <c r="C84" s="26" t="n">
        <v>6.186071</v>
      </c>
      <c r="D84" s="27" t="n">
        <v>65</v>
      </c>
      <c r="E84" s="27" t="n">
        <v>33</v>
      </c>
      <c r="F84" s="28" t="s">
        <v>10</v>
      </c>
      <c r="G84" s="20" t="n">
        <f aca="false">SIN(RADIANS(D84))</f>
        <v>0.90630778703665</v>
      </c>
      <c r="H84" s="20" t="n">
        <f aca="false">COS(RADIANS(D84))</f>
        <v>0.422618261740699</v>
      </c>
    </row>
    <row r="85" customFormat="false" ht="15" hidden="false" customHeight="false" outlineLevel="0" collapsed="false">
      <c r="A85" s="29" t="s">
        <v>30</v>
      </c>
      <c r="B85" s="30" t="n">
        <v>50.704397</v>
      </c>
      <c r="C85" s="30" t="n">
        <v>6.186071</v>
      </c>
      <c r="D85" s="31" t="n">
        <v>235</v>
      </c>
      <c r="E85" s="31" t="n">
        <v>90</v>
      </c>
      <c r="F85" s="32" t="s">
        <v>12</v>
      </c>
      <c r="G85" s="20" t="n">
        <f aca="false">SIN(RADIANS(D85))</f>
        <v>-0.819152044288992</v>
      </c>
      <c r="H85" s="20" t="n">
        <f aca="false">COS(RADIANS(D85))</f>
        <v>-0.573576436351046</v>
      </c>
    </row>
    <row r="86" customFormat="false" ht="15" hidden="false" customHeight="false" outlineLevel="0" collapsed="false">
      <c r="A86" s="29" t="s">
        <v>30</v>
      </c>
      <c r="B86" s="30" t="n">
        <v>50.704397</v>
      </c>
      <c r="C86" s="30" t="n">
        <v>6.186071</v>
      </c>
      <c r="D86" s="31" t="n">
        <v>275</v>
      </c>
      <c r="E86" s="31" t="n">
        <v>90</v>
      </c>
      <c r="F86" s="32" t="s">
        <v>12</v>
      </c>
      <c r="G86" s="20" t="n">
        <f aca="false">SIN(RADIANS(D86))</f>
        <v>-0.996194698091746</v>
      </c>
      <c r="H86" s="20" t="n">
        <f aca="false">COS(RADIANS(D86))</f>
        <v>0.0871557427476579</v>
      </c>
    </row>
    <row r="87" customFormat="false" ht="15" hidden="false" customHeight="false" outlineLevel="0" collapsed="false">
      <c r="A87" s="16" t="s">
        <v>31</v>
      </c>
      <c r="B87" s="17" t="n">
        <v>50.706617</v>
      </c>
      <c r="C87" s="17" t="n">
        <v>6.189537</v>
      </c>
      <c r="D87" s="18" t="n">
        <v>30</v>
      </c>
      <c r="E87" s="18" t="n">
        <v>20</v>
      </c>
      <c r="F87" s="19" t="s">
        <v>6</v>
      </c>
      <c r="G87" s="20" t="n">
        <f aca="false">SIN(RADIANS(D87))</f>
        <v>0.5</v>
      </c>
      <c r="H87" s="20" t="n">
        <f aca="false">COS(RADIANS(D87))</f>
        <v>0.866025403784439</v>
      </c>
    </row>
    <row r="88" customFormat="false" ht="15" hidden="false" customHeight="false" outlineLevel="0" collapsed="false">
      <c r="A88" s="16" t="s">
        <v>31</v>
      </c>
      <c r="B88" s="17" t="n">
        <v>50.706617</v>
      </c>
      <c r="C88" s="17" t="n">
        <v>6.189537</v>
      </c>
      <c r="D88" s="18" t="n">
        <v>20</v>
      </c>
      <c r="E88" s="18" t="n">
        <v>11</v>
      </c>
      <c r="F88" s="19" t="s">
        <v>6</v>
      </c>
      <c r="G88" s="20" t="n">
        <f aca="false">SIN(RADIANS(D88))</f>
        <v>0.342020143325669</v>
      </c>
      <c r="H88" s="20" t="n">
        <f aca="false">COS(RADIANS(D88))</f>
        <v>0.939692620785908</v>
      </c>
    </row>
    <row r="89" customFormat="false" ht="15" hidden="false" customHeight="false" outlineLevel="0" collapsed="false">
      <c r="A89" s="21" t="s">
        <v>31</v>
      </c>
      <c r="B89" s="22" t="n">
        <v>50.706617</v>
      </c>
      <c r="C89" s="22" t="n">
        <v>6.189537</v>
      </c>
      <c r="D89" s="23" t="n">
        <v>135</v>
      </c>
      <c r="E89" s="23" t="n">
        <v>79</v>
      </c>
      <c r="F89" s="24" t="s">
        <v>8</v>
      </c>
      <c r="G89" s="20" t="n">
        <f aca="false">SIN(RADIANS(D89))</f>
        <v>0.707106781186548</v>
      </c>
      <c r="H89" s="20" t="n">
        <f aca="false">COS(RADIANS(D89))</f>
        <v>-0.707106781186548</v>
      </c>
    </row>
    <row r="90" customFormat="false" ht="15" hidden="false" customHeight="false" outlineLevel="0" collapsed="false">
      <c r="A90" s="21" t="s">
        <v>31</v>
      </c>
      <c r="B90" s="22" t="n">
        <v>50.706617</v>
      </c>
      <c r="C90" s="22" t="n">
        <v>6.189537</v>
      </c>
      <c r="D90" s="23" t="n">
        <v>135</v>
      </c>
      <c r="E90" s="23" t="n">
        <v>80</v>
      </c>
      <c r="F90" s="24" t="s">
        <v>8</v>
      </c>
      <c r="G90" s="20" t="n">
        <f aca="false">SIN(RADIANS(D90))</f>
        <v>0.707106781186548</v>
      </c>
      <c r="H90" s="20" t="n">
        <f aca="false">COS(RADIANS(D90))</f>
        <v>-0.707106781186548</v>
      </c>
    </row>
    <row r="91" customFormat="false" ht="15" hidden="false" customHeight="false" outlineLevel="0" collapsed="false">
      <c r="A91" s="29" t="s">
        <v>31</v>
      </c>
      <c r="B91" s="30" t="n">
        <v>50.706617</v>
      </c>
      <c r="C91" s="30" t="n">
        <v>6.189537</v>
      </c>
      <c r="D91" s="31" t="n">
        <v>242</v>
      </c>
      <c r="E91" s="31" t="n">
        <v>90</v>
      </c>
      <c r="F91" s="32" t="s">
        <v>12</v>
      </c>
      <c r="G91" s="20" t="n">
        <f aca="false">SIN(RADIANS(D91))</f>
        <v>-0.882947592858927</v>
      </c>
      <c r="H91" s="20" t="n">
        <f aca="false">COS(RADIANS(D91))</f>
        <v>-0.469471562785891</v>
      </c>
    </row>
    <row r="92" customFormat="false" ht="15" hidden="false" customHeight="false" outlineLevel="0" collapsed="false">
      <c r="A92" s="29" t="s">
        <v>31</v>
      </c>
      <c r="B92" s="30" t="n">
        <v>50.706617</v>
      </c>
      <c r="C92" s="30" t="n">
        <v>6.189537</v>
      </c>
      <c r="D92" s="31" t="n">
        <v>205</v>
      </c>
      <c r="E92" s="31" t="n">
        <v>72</v>
      </c>
      <c r="F92" s="32" t="s">
        <v>12</v>
      </c>
      <c r="G92" s="20" t="n">
        <f aca="false">SIN(RADIANS(D92))</f>
        <v>-0.422618261740699</v>
      </c>
      <c r="H92" s="20" t="n">
        <f aca="false">COS(RADIANS(D92))</f>
        <v>-0.90630778703665</v>
      </c>
    </row>
    <row r="93" customFormat="false" ht="15" hidden="false" customHeight="false" outlineLevel="0" collapsed="false">
      <c r="A93" s="16" t="s">
        <v>32</v>
      </c>
      <c r="B93" s="17" t="n">
        <v>50.706572</v>
      </c>
      <c r="C93" s="17" t="n">
        <v>6.189325</v>
      </c>
      <c r="D93" s="18" t="n">
        <v>275</v>
      </c>
      <c r="E93" s="18" t="n">
        <v>57</v>
      </c>
      <c r="F93" s="19" t="s">
        <v>6</v>
      </c>
      <c r="G93" s="20" t="n">
        <f aca="false">SIN(RADIANS(D93))</f>
        <v>-0.996194698091746</v>
      </c>
      <c r="H93" s="20" t="n">
        <f aca="false">COS(RADIANS(D93))</f>
        <v>0.0871557427476579</v>
      </c>
    </row>
    <row r="94" customFormat="false" ht="15" hidden="false" customHeight="false" outlineLevel="0" collapsed="false">
      <c r="A94" s="16" t="s">
        <v>32</v>
      </c>
      <c r="B94" s="17" t="n">
        <v>50.706572</v>
      </c>
      <c r="C94" s="17" t="n">
        <v>6.189325</v>
      </c>
      <c r="D94" s="18" t="n">
        <v>266</v>
      </c>
      <c r="E94" s="18" t="n">
        <v>45</v>
      </c>
      <c r="F94" s="19" t="s">
        <v>6</v>
      </c>
      <c r="G94" s="20" t="n">
        <f aca="false">SIN(RADIANS(D94))</f>
        <v>-0.997564050259824</v>
      </c>
      <c r="H94" s="20" t="n">
        <f aca="false">COS(RADIANS(D94))</f>
        <v>-0.0697564737441256</v>
      </c>
    </row>
    <row r="95" customFormat="false" ht="15" hidden="false" customHeight="false" outlineLevel="0" collapsed="false">
      <c r="A95" s="21" t="s">
        <v>32</v>
      </c>
      <c r="B95" s="22" t="n">
        <v>50.706572</v>
      </c>
      <c r="C95" s="22" t="n">
        <v>6.189325</v>
      </c>
      <c r="D95" s="23" t="n">
        <v>130</v>
      </c>
      <c r="E95" s="23" t="n">
        <v>80</v>
      </c>
      <c r="F95" s="24" t="s">
        <v>8</v>
      </c>
      <c r="G95" s="20" t="n">
        <f aca="false">SIN(RADIANS(D95))</f>
        <v>0.766044443118978</v>
      </c>
      <c r="H95" s="20" t="n">
        <f aca="false">COS(RADIANS(D95))</f>
        <v>-0.642787609686539</v>
      </c>
    </row>
    <row r="96" customFormat="false" ht="15" hidden="false" customHeight="false" outlineLevel="0" collapsed="false">
      <c r="A96" s="21" t="s">
        <v>32</v>
      </c>
      <c r="B96" s="22" t="n">
        <v>50.706572</v>
      </c>
      <c r="C96" s="22" t="n">
        <v>6.189325</v>
      </c>
      <c r="D96" s="23" t="n">
        <v>138</v>
      </c>
      <c r="E96" s="23" t="n">
        <v>90</v>
      </c>
      <c r="F96" s="24" t="s">
        <v>8</v>
      </c>
      <c r="G96" s="20" t="n">
        <f aca="false">SIN(RADIANS(D96))</f>
        <v>0.669130606358858</v>
      </c>
      <c r="H96" s="20" t="n">
        <f aca="false">COS(RADIANS(D96))</f>
        <v>-0.743144825477394</v>
      </c>
    </row>
    <row r="97" customFormat="false" ht="15" hidden="false" customHeight="false" outlineLevel="0" collapsed="false">
      <c r="A97" s="25" t="s">
        <v>32</v>
      </c>
      <c r="B97" s="26" t="n">
        <v>50.706572</v>
      </c>
      <c r="C97" s="26" t="n">
        <v>6.189325</v>
      </c>
      <c r="D97" s="27" t="n">
        <v>63</v>
      </c>
      <c r="E97" s="27" t="n">
        <v>70</v>
      </c>
      <c r="F97" s="28" t="s">
        <v>10</v>
      </c>
      <c r="G97" s="20" t="n">
        <f aca="false">SIN(RADIANS(D97))</f>
        <v>0.891006524188368</v>
      </c>
      <c r="H97" s="20" t="n">
        <f aca="false">COS(RADIANS(D97))</f>
        <v>0.453990499739547</v>
      </c>
    </row>
    <row r="98" customFormat="false" ht="15" hidden="false" customHeight="false" outlineLevel="0" collapsed="false">
      <c r="A98" s="25" t="s">
        <v>32</v>
      </c>
      <c r="B98" s="26" t="n">
        <v>50.706572</v>
      </c>
      <c r="C98" s="26" t="n">
        <v>6.189325</v>
      </c>
      <c r="D98" s="27" t="n">
        <v>57</v>
      </c>
      <c r="E98" s="27" t="n">
        <v>84</v>
      </c>
      <c r="F98" s="28" t="s">
        <v>10</v>
      </c>
      <c r="G98" s="20" t="n">
        <f aca="false">SIN(RADIANS(D98))</f>
        <v>0.838670567945424</v>
      </c>
      <c r="H98" s="20" t="n">
        <f aca="false">COS(RADIANS(D98))</f>
        <v>0.544639035015027</v>
      </c>
    </row>
    <row r="99" customFormat="false" ht="15" hidden="false" customHeight="false" outlineLevel="0" collapsed="false">
      <c r="A99" s="21" t="s">
        <v>33</v>
      </c>
      <c r="B99" s="22" t="n">
        <v>50.703654999999</v>
      </c>
      <c r="C99" s="22" t="n">
        <v>6.186099</v>
      </c>
      <c r="D99" s="23" t="n">
        <v>155</v>
      </c>
      <c r="E99" s="23" t="n">
        <v>86</v>
      </c>
      <c r="F99" s="24" t="s">
        <v>8</v>
      </c>
      <c r="G99" s="20" t="n">
        <f aca="false">SIN(RADIANS(D99))</f>
        <v>0.4226182617407</v>
      </c>
      <c r="H99" s="20" t="n">
        <f aca="false">COS(RADIANS(D99))</f>
        <v>-0.90630778703665</v>
      </c>
    </row>
  </sheetData>
  <autoFilter ref="A1:F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2026-08-15T20:08:28Z</dcterms:created>
  <dc:creator>openpyxl</dc:creator>
  <dc:description/>
  <dc:language>en-US</dc:language>
  <cp:lastModifiedBy/>
  <dcterms:modified xsi:type="dcterms:W3CDTF">2026-08-15T20:08:28Z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